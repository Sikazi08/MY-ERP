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RA STORES\Documents\Arsene\"/>
    </mc:Choice>
  </mc:AlternateContent>
  <xr:revisionPtr revIDLastSave="0" documentId="13_ncr:1_{57910131-1050-4A44-9BAB-0E1EA1ED508D}" xr6:coauthVersionLast="47" xr6:coauthVersionMax="47" xr10:uidLastSave="{00000000-0000-0000-0000-000000000000}"/>
  <bookViews>
    <workbookView xWindow="-120" yWindow="-120" windowWidth="29040" windowHeight="15840" tabRatio="766" activeTab="6" xr2:uid="{00000000-000D-0000-FFFF-FFFF00000000}"/>
  </bookViews>
  <sheets>
    <sheet name="Accueil" sheetId="1" r:id="rId1"/>
    <sheet name="Dashboard" sheetId="6" r:id="rId2"/>
    <sheet name="Stock_Telephones" sheetId="3" state="veryHidden" r:id="rId3"/>
    <sheet name="Ventes" sheetId="4" state="veryHidden" r:id="rId4"/>
    <sheet name="Mouvements" sheetId="7" state="veryHidden" r:id="rId5"/>
    <sheet name="Vendeurs" sheetId="2" r:id="rId6"/>
    <sheet name="Stock_Administration" sheetId="8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6" l="1"/>
  <c r="G6" i="6"/>
  <c r="G5" i="6"/>
  <c r="G4" i="6"/>
  <c r="D9" i="6"/>
  <c r="D8" i="6"/>
  <c r="D7" i="6"/>
  <c r="D6" i="6"/>
  <c r="D5" i="6"/>
  <c r="D4" i="6"/>
  <c r="D16" i="6"/>
  <c r="D15" i="6"/>
  <c r="D14" i="6"/>
  <c r="D13" i="6"/>
  <c r="L5" i="4"/>
</calcChain>
</file>

<file path=xl/sharedStrings.xml><?xml version="1.0" encoding="utf-8"?>
<sst xmlns="http://schemas.openxmlformats.org/spreadsheetml/2006/main" count="100" uniqueCount="72">
  <si>
    <t>Nom</t>
  </si>
  <si>
    <t>Jake</t>
  </si>
  <si>
    <t>Arsene</t>
  </si>
  <si>
    <t>Joan</t>
  </si>
  <si>
    <t>Franck-Brel</t>
  </si>
  <si>
    <t>Bijou</t>
  </si>
  <si>
    <t>Dylan JC</t>
  </si>
  <si>
    <t>Reine</t>
  </si>
  <si>
    <t>IMEI</t>
  </si>
  <si>
    <t>Produit</t>
  </si>
  <si>
    <t>Marque</t>
  </si>
  <si>
    <t>Statut</t>
  </si>
  <si>
    <t>iPhone 14 Pro</t>
  </si>
  <si>
    <t>Date</t>
  </si>
  <si>
    <t>Client</t>
  </si>
  <si>
    <t>Téléphone</t>
  </si>
  <si>
    <t>Paiement</t>
  </si>
  <si>
    <t>Vendeur</t>
  </si>
  <si>
    <t>Montant</t>
  </si>
  <si>
    <t>Total</t>
  </si>
  <si>
    <t>Capacité</t>
  </si>
  <si>
    <t>Couleur</t>
  </si>
  <si>
    <t>ID_Produit</t>
  </si>
  <si>
    <t>256 Go</t>
  </si>
  <si>
    <t>128 Go</t>
  </si>
  <si>
    <t>Blanc</t>
  </si>
  <si>
    <t>Type</t>
  </si>
  <si>
    <t>Partenaire</t>
  </si>
  <si>
    <t>ID Produit</t>
  </si>
  <si>
    <t>TH000002</t>
  </si>
  <si>
    <t>Sortie</t>
  </si>
  <si>
    <t>popo</t>
  </si>
  <si>
    <t>Vente partenaire</t>
  </si>
  <si>
    <t>TH003</t>
  </si>
  <si>
    <t>15 Plus</t>
  </si>
  <si>
    <t>Argent</t>
  </si>
  <si>
    <t>YUUI</t>
  </si>
  <si>
    <t>Retour</t>
  </si>
  <si>
    <t>Type_Vente</t>
  </si>
  <si>
    <t>Mode_Entrée</t>
  </si>
  <si>
    <t>Prix_Achat</t>
  </si>
  <si>
    <t>Prix_Vente</t>
  </si>
  <si>
    <t>Bénéfice</t>
  </si>
  <si>
    <t>Date_Entrée</t>
  </si>
  <si>
    <t>Date_Vente</t>
  </si>
  <si>
    <t>Bleu</t>
  </si>
  <si>
    <t>TH000003</t>
  </si>
  <si>
    <t>dssdfvas</t>
  </si>
  <si>
    <t>512 Go</t>
  </si>
  <si>
    <t>Vert</t>
  </si>
  <si>
    <t>Entrée Troc</t>
  </si>
  <si>
    <t>TH000005</t>
  </si>
  <si>
    <t>sdfgvdfgs</t>
  </si>
  <si>
    <t>aaaaaaaa</t>
  </si>
  <si>
    <t>Or</t>
  </si>
  <si>
    <t>Fournisseur</t>
  </si>
  <si>
    <t>Téléphones en stock</t>
  </si>
  <si>
    <t>Téléphones vendus</t>
  </si>
  <si>
    <t>Téléphones chez partenaires</t>
  </si>
  <si>
    <t>Téléphones entrés en troc</t>
  </si>
  <si>
    <t>Bénéfice total</t>
  </si>
  <si>
    <t>Ventes du jour</t>
  </si>
  <si>
    <t>Ventes de la semaine</t>
  </si>
  <si>
    <t>Ventes du mois</t>
  </si>
  <si>
    <t>CA du jour</t>
  </si>
  <si>
    <t>CA de la semaine</t>
  </si>
  <si>
    <t>CA du mois</t>
  </si>
  <si>
    <t>Bénéfice du jour</t>
  </si>
  <si>
    <t>Bénéfice de la semaine</t>
  </si>
  <si>
    <t>Bénéfice du mois</t>
  </si>
  <si>
    <t>ACTIVITE PERIODE</t>
  </si>
  <si>
    <t>ACTIVITE GLOBALE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</si>
</sst>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FCFA&quot;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Arial Unicode MS"/>
    </font>
    <font>
      <b/>
      <sz val="12"/>
      <color rgb="FFFF0000"/>
      <name val="Calibri"/>
      <family val="2"/>
    </font>
    <font>
      <b/>
      <sz val="11"/>
      <color rgb="FFFF0000"/>
      <name val="Calibri"/>
      <family val="2"/>
    </font>
    <font>
      <sz val="9"/>
      <color theme="1"/>
      <name val="Poppins"/>
    </font>
    <font>
      <b/>
      <sz val="9"/>
      <color theme="1"/>
      <name val="Poppins Medium"/>
    </font>
    <font>
      <sz val="8"/>
      <name val="Poppins Medium"/>
    </font>
    <font>
      <sz val="9"/>
      <name val="Poppins Medium"/>
    </font>
    <font>
      <sz val="8"/>
      <color theme="1"/>
      <name val="Poppins Medium"/>
    </font>
    <font>
      <b/>
      <sz val="9"/>
      <name val="Poppins Medium"/>
    </font>
    <font>
      <sz val="9"/>
      <color theme="1"/>
      <name val="Poppins Medium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2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2" borderId="0" xfId="0" applyFill="1"/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22" fontId="4" fillId="0" borderId="14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22" fontId="4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5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4" fontId="4" fillId="0" borderId="19" xfId="0" applyNumberFormat="1" applyFont="1" applyBorder="1" applyAlignment="1">
      <alignment horizontal="center" vertical="center" wrapText="1"/>
    </xf>
    <xf numFmtId="22" fontId="4" fillId="0" borderId="0" xfId="0" applyNumberFormat="1" applyFont="1" applyAlignment="1">
      <alignment horizontal="center"/>
    </xf>
    <xf numFmtId="22" fontId="5" fillId="0" borderId="0" xfId="0" applyNumberFormat="1" applyFon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 wrapText="1"/>
    </xf>
    <xf numFmtId="0" fontId="0" fillId="0" borderId="22" xfId="0" applyBorder="1" applyAlignment="1">
      <alignment horizontal="left" vertical="center"/>
    </xf>
    <xf numFmtId="0" fontId="1" fillId="0" borderId="22" xfId="0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0" fontId="12" fillId="3" borderId="3" xfId="0" applyFont="1" applyFill="1" applyBorder="1" applyAlignment="1">
      <alignment horizontal="left" vertical="center" wrapText="1"/>
    </xf>
    <xf numFmtId="0" fontId="12" fillId="3" borderId="6" xfId="0" applyFont="1" applyFill="1" applyBorder="1" applyAlignment="1">
      <alignment horizontal="left" vertical="center" wrapText="1"/>
    </xf>
    <xf numFmtId="0" fontId="12" fillId="3" borderId="8" xfId="0" applyFont="1" applyFill="1" applyBorder="1" applyAlignment="1">
      <alignment horizontal="left" vertical="center" wrapText="1"/>
    </xf>
    <xf numFmtId="0" fontId="12" fillId="3" borderId="4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horizontal="left"/>
    </xf>
    <xf numFmtId="0" fontId="12" fillId="3" borderId="1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164" fontId="14" fillId="0" borderId="5" xfId="0" applyNumberFormat="1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4" fillId="0" borderId="13" xfId="0" applyNumberFormat="1" applyFont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left" vertical="center"/>
    </xf>
    <xf numFmtId="164" fontId="16" fillId="0" borderId="5" xfId="0" applyNumberFormat="1" applyFont="1" applyBorder="1" applyAlignment="1">
      <alignment horizontal="center" vertical="center"/>
    </xf>
    <xf numFmtId="0" fontId="14" fillId="3" borderId="6" xfId="0" applyFont="1" applyFill="1" applyBorder="1" applyAlignment="1">
      <alignment horizontal="left" vertical="center"/>
    </xf>
    <xf numFmtId="164" fontId="16" fillId="0" borderId="7" xfId="0" applyNumberFormat="1" applyFont="1" applyBorder="1" applyAlignment="1">
      <alignment horizontal="center" vertical="center"/>
    </xf>
    <xf numFmtId="0" fontId="14" fillId="3" borderId="8" xfId="0" applyFont="1" applyFill="1" applyBorder="1" applyAlignment="1">
      <alignment horizontal="left" vertical="center"/>
    </xf>
    <xf numFmtId="164" fontId="16" fillId="0" borderId="10" xfId="0" applyNumberFormat="1" applyFont="1" applyBorder="1" applyAlignment="1">
      <alignment horizontal="center" vertical="center"/>
    </xf>
    <xf numFmtId="164" fontId="14" fillId="0" borderId="5" xfId="0" applyNumberFormat="1" applyFont="1" applyBorder="1" applyAlignment="1">
      <alignment horizontal="center" vertical="center"/>
    </xf>
    <xf numFmtId="164" fontId="14" fillId="0" borderId="7" xfId="0" applyNumberFormat="1" applyFont="1" applyBorder="1" applyAlignment="1">
      <alignment horizontal="center" vertical="center" wrapText="1"/>
    </xf>
    <xf numFmtId="164" fontId="14" fillId="0" borderId="7" xfId="0" applyNumberFormat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64" fontId="14" fillId="0" borderId="10" xfId="0" applyNumberFormat="1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5" fillId="3" borderId="23" xfId="0" applyFont="1" applyFill="1" applyBorder="1" applyAlignment="1">
      <alignment horizontal="center" vertical="center"/>
    </xf>
    <xf numFmtId="0" fontId="15" fillId="3" borderId="24" xfId="0" applyFont="1" applyFill="1" applyBorder="1" applyAlignment="1">
      <alignment horizontal="center" vertical="center"/>
    </xf>
    <xf numFmtId="0" fontId="15" fillId="3" borderId="25" xfId="0" applyFont="1" applyFill="1" applyBorder="1" applyAlignment="1">
      <alignment horizontal="center" vertical="center"/>
    </xf>
  </cellXfs>
  <cellStyles count="1">
    <cellStyle name="Normal" xfId="0" builtinId="0"/>
  </cellStyles>
  <dxfs count="59">
    <dxf>
      <numFmt numFmtId="164" formatCode="#,##0\ &quot;FCFA&quot;"/>
    </dxf>
    <dxf>
      <numFmt numFmtId="164" formatCode="#,##0\ &quot;FCFA&quot;"/>
    </dxf>
    <dxf>
      <numFmt numFmtId="164" formatCode="#,##0\ &quot;FCFA&quot;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#,##0\ &quot;FCFA&quot;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</font>
      <numFmt numFmtId="164" formatCode="#,##0\ &quot;FCFA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7" formatCode="dd/mm/yyyy\ hh:mm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7" formatCode="dd/mm/yyyy\ hh:m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7" formatCode="dd/mm/yyyy\ hh:mm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indent="0" justifyLastLine="0" shrinkToFit="0" readingOrder="0"/>
    </dxf>
    <dxf>
      <border diagonalUp="0" diagonalDown="0">
        <left/>
        <right/>
        <top/>
        <bottom style="dotted">
          <color theme="1" tint="0.34998626667073579"/>
        </bottom>
      </border>
    </dxf>
    <dxf>
      <font>
        <b val="0"/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double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123825</xdr:rowOff>
        </xdr:from>
        <xdr:to>
          <xdr:col>1</xdr:col>
          <xdr:colOff>190500</xdr:colOff>
          <xdr:row>1</xdr:row>
          <xdr:rowOff>552450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M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RETOUR ACCEUIL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133350</xdr:rowOff>
        </xdr:from>
        <xdr:to>
          <xdr:col>1</xdr:col>
          <xdr:colOff>781050</xdr:colOff>
          <xdr:row>1</xdr:row>
          <xdr:rowOff>533400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M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RETOUR ACCEUIL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</xdr:row>
          <xdr:rowOff>142875</xdr:rowOff>
        </xdr:from>
        <xdr:to>
          <xdr:col>1</xdr:col>
          <xdr:colOff>933450</xdr:colOff>
          <xdr:row>1</xdr:row>
          <xdr:rowOff>533400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M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RETOUR ACCEUIL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57150</xdr:rowOff>
        </xdr:from>
        <xdr:to>
          <xdr:col>1</xdr:col>
          <xdr:colOff>1352550</xdr:colOff>
          <xdr:row>1</xdr:row>
          <xdr:rowOff>542925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M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RETOUR ACCEUIL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blStockTelephones" displayName="tblStockTelephones" ref="A3:H4" insertRow="1" totalsRowShown="0" headerRowDxfId="58" dataDxfId="56" headerRowBorderDxfId="57" tableBorderDxfId="55" totalsRowBorderDxfId="54">
  <autoFilter ref="A3:H4" xr:uid="{00000000-0009-0000-0100-000008000000}"/>
  <tableColumns count="8">
    <tableColumn id="1" xr3:uid="{00000000-0010-0000-0100-000001000000}" name="ID_Produit" dataDxfId="53"/>
    <tableColumn id="2" xr3:uid="{00000000-0010-0000-0100-000002000000}" name="IMEI" dataDxfId="52"/>
    <tableColumn id="3" xr3:uid="{00000000-0010-0000-0100-000003000000}" name="Produit" dataDxfId="51"/>
    <tableColumn id="4" xr3:uid="{00000000-0010-0000-0100-000004000000}" name="Marque" dataDxfId="50"/>
    <tableColumn id="5" xr3:uid="{00000000-0010-0000-0100-000005000000}" name="Capacité" dataDxfId="49"/>
    <tableColumn id="6" xr3:uid="{00000000-0010-0000-0100-000006000000}" name="Couleur" dataDxfId="48"/>
    <tableColumn id="7" xr3:uid="{00000000-0010-0000-0100-000007000000}" name="Statut" dataDxfId="47"/>
    <tableColumn id="9" xr3:uid="{90C2E90A-06DE-4FB1-B9E3-063B6ECE8739}" name="Partenaire" dataDxfId="46"/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Ventes" displayName="tblVentes" ref="A3:L5" insertRow="1" totalsRowCount="1" headerRowDxfId="45" dataDxfId="43" totalsRowDxfId="41" headerRowBorderDxfId="44" tableBorderDxfId="42">
  <autoFilter ref="A3:L4" xr:uid="{00000000-0009-0000-0100-000003000000}"/>
  <tableColumns count="12">
    <tableColumn id="1" xr3:uid="{00000000-0010-0000-0200-000001000000}" name="Date" totalsRowLabel="Total" dataDxfId="40" totalsRowDxfId="39"/>
    <tableColumn id="12" xr3:uid="{00000000-0010-0000-0200-00000C000000}" name="ID_Produit" dataDxfId="38" totalsRowDxfId="37"/>
    <tableColumn id="2" xr3:uid="{00000000-0010-0000-0200-000002000000}" name="IMEI" dataDxfId="36" totalsRowDxfId="35"/>
    <tableColumn id="3" xr3:uid="{00000000-0010-0000-0200-000003000000}" name="Produit" dataDxfId="34" totalsRowDxfId="33"/>
    <tableColumn id="13" xr3:uid="{00000000-0010-0000-0200-00000D000000}" name="Capacité" dataDxfId="32" totalsRowDxfId="31"/>
    <tableColumn id="4" xr3:uid="{00000000-0010-0000-0200-000004000000}" name="Couleur" dataDxfId="30" totalsRowDxfId="29"/>
    <tableColumn id="9" xr3:uid="{00000000-0010-0000-0200-000009000000}" name="Client" dataDxfId="28" totalsRowDxfId="27"/>
    <tableColumn id="10" xr3:uid="{00000000-0010-0000-0200-00000A000000}" name="Téléphone" dataDxfId="26" totalsRowDxfId="25"/>
    <tableColumn id="6" xr3:uid="{00000000-0010-0000-0200-000006000000}" name="Paiement" dataDxfId="24" totalsRowDxfId="23"/>
    <tableColumn id="5" xr3:uid="{6E8E5C02-362D-48F0-A384-093EEFE035CB}" name="Type_Vente" dataDxfId="22" totalsRowDxfId="21"/>
    <tableColumn id="7" xr3:uid="{00000000-0010-0000-0200-000007000000}" name="Vendeur" dataDxfId="20" totalsRowDxfId="19"/>
    <tableColumn id="8" xr3:uid="{00000000-0010-0000-0200-000008000000}" name="Montant" totalsRowFunction="sum" dataDxfId="18" totalsRowDxfId="17"/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74A266-EF66-4776-93AD-2D196FAD9324}" name="tblMouvements" displayName="tblMouvements" ref="A3:H9" totalsRowShown="0" headerRowDxfId="16" dataDxfId="14" headerRowBorderDxfId="15" tableBorderDxfId="13" totalsRowBorderDxfId="12">
  <autoFilter ref="A3:H9" xr:uid="{38C69C1F-8354-434B-8845-FD6CC9784EB9}"/>
  <tableColumns count="8">
    <tableColumn id="1" xr3:uid="{19FB2107-41F8-4C29-8E48-361FDCE31E8E}" name="Date" dataDxfId="11"/>
    <tableColumn id="2" xr3:uid="{88190FF3-3FB2-4789-8F33-306CD027868E}" name="Type" dataDxfId="10"/>
    <tableColumn id="3" xr3:uid="{3EEE4180-F5BF-47E2-BCE3-0A26E70297AD}" name="Partenaire" dataDxfId="9"/>
    <tableColumn id="4" xr3:uid="{12A0A412-85AA-4334-98EE-38C29E2D336C}" name="ID Produit" dataDxfId="8"/>
    <tableColumn id="5" xr3:uid="{19BBA5D0-0AE8-433F-AAE9-3C5538094381}" name="IMEI" dataDxfId="7"/>
    <tableColumn id="6" xr3:uid="{7046BC27-8A8A-4F2D-BB21-EDCAF194E1FA}" name="Produit" dataDxfId="6"/>
    <tableColumn id="7" xr3:uid="{99260F30-DBA0-4C68-841B-D1CA946154D2}" name="Capacité" dataDxfId="5"/>
    <tableColumn id="8" xr3:uid="{9CFA280D-60F3-410E-8959-152A897C78FE}" name="Couleur" dataDxfId="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blVendeurs" displayName="tblVendeurs" ref="A1:A8" totalsRowShown="0">
  <autoFilter ref="A1:A8" xr:uid="{00000000-0009-0000-0100-000005000000}"/>
  <tableColumns count="1">
    <tableColumn id="1" xr3:uid="{00000000-0010-0000-0000-000001000000}" name="No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8F2F4-D91B-46B1-B09D-1EBFC77199F2}" name="tblStockAdmin" displayName="tblStockAdmin" ref="A3:N4" totalsRowShown="0" headerRowDxfId="3">
  <autoFilter ref="A3:N4" xr:uid="{EA4EF37F-F3E2-4156-A1EF-AB25390CD3AF}"/>
  <tableColumns count="14">
    <tableColumn id="1" xr3:uid="{66EEFE34-A7B3-427C-8A2C-762FC0D76AE8}" name="ID_Produit"/>
    <tableColumn id="2" xr3:uid="{5D0B437D-BD4F-426F-BD6D-423980A53DE8}" name="IMEI"/>
    <tableColumn id="3" xr3:uid="{FB0D92B3-0D4E-4E30-8F98-C91154EB54C1}" name="Produit"/>
    <tableColumn id="4" xr3:uid="{9FE07CBB-A049-401C-9A82-7ECBD6678CEB}" name="Marque"/>
    <tableColumn id="5" xr3:uid="{A8376DC5-6B3E-4725-B855-B763539F5BF4}" name="Capacité"/>
    <tableColumn id="6" xr3:uid="{354B0EA6-4296-469D-8492-EE72447A24B2}" name="Couleur"/>
    <tableColumn id="7" xr3:uid="{EC2FCE55-B654-40CF-8228-C92A299EEB70}" name="Mode_Entrée"/>
    <tableColumn id="8" xr3:uid="{154FD2E7-EB43-4861-8BCC-9F26B27ACE06}" name="Prix_Achat" dataDxfId="2"/>
    <tableColumn id="9" xr3:uid="{5D5CBA27-FC82-402C-92CB-CC1DE39F9DB0}" name="Prix_Vente" dataDxfId="1"/>
    <tableColumn id="10" xr3:uid="{387FEE44-6D8F-44F2-A3F0-0EEDA2EAAFCA}" name="Bénéfice" dataDxfId="0"/>
    <tableColumn id="11" xr3:uid="{FE1B1BCF-C922-4E0E-AB44-B194E23640DE}" name="Statut"/>
    <tableColumn id="12" xr3:uid="{89CE3EB4-DFE4-43D1-B3FD-08BAAE6B8138}" name="Date_Entrée"/>
    <tableColumn id="13" xr3:uid="{CB0E0A88-7F95-4579-AA27-9C6732C8CDCA}" name="Date_Vente"/>
    <tableColumn id="15" xr3:uid="{9346C6FD-66E1-4067-B5CF-1D3BC5F42FC9}" name="Fournisseu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topLeftCell="A22" workbookViewId="0">
      <selection activeCell="H44" sqref="H44"/>
    </sheetView>
  </sheetViews>
  <sheetFormatPr baseColWidth="10" defaultColWidth="11.42578125" defaultRowHeight="15"/>
  <cols>
    <col min="1" max="16384" width="11.42578125" style="8"/>
  </cols>
  <sheetData/>
  <sheetProtection algorithmName="SHA-512" hashValue="d/aDOGldqh9rjYHuGTQ/xmbMAAVpK7ys0mJe7c5dH7ecxoPfxdtKiZjE3FJO0Ehsu+gOAobSQAaktI4gAosKkQ==" saltValue="6o/C57DXcDMxQHIJ6n/Ks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H17"/>
  <sheetViews>
    <sheetView topLeftCell="B1" zoomScale="162" workbookViewId="0">
      <selection activeCell="G11" sqref="G11"/>
    </sheetView>
  </sheetViews>
  <sheetFormatPr baseColWidth="10" defaultColWidth="11.42578125" defaultRowHeight="15"/>
  <cols>
    <col min="1" max="2" width="11.42578125" style="3"/>
    <col min="3" max="3" width="23.42578125" style="6" customWidth="1"/>
    <col min="4" max="4" width="16.7109375" style="4" customWidth="1"/>
    <col min="5" max="5" width="1.7109375" style="4" customWidth="1"/>
    <col min="6" max="6" width="21.140625" style="3" customWidth="1"/>
    <col min="7" max="7" width="15.7109375" style="6" customWidth="1"/>
    <col min="8" max="8" width="11.42578125" style="3"/>
    <col min="9" max="9" width="25.140625" style="3" customWidth="1"/>
    <col min="10" max="10" width="14.140625" style="3" customWidth="1"/>
    <col min="11" max="16384" width="11.42578125" style="3"/>
  </cols>
  <sheetData>
    <row r="1" spans="1:8" ht="40.5" customHeight="1" thickBot="1">
      <c r="C1" s="40"/>
      <c r="D1" s="41"/>
    </row>
    <row r="2" spans="1:8" ht="27.75" customHeight="1" thickTop="1" thickBot="1">
      <c r="A2" s="7"/>
      <c r="C2" s="71" t="s">
        <v>70</v>
      </c>
      <c r="D2" s="72"/>
      <c r="E2" s="72"/>
      <c r="F2" s="72"/>
      <c r="G2" s="73"/>
    </row>
    <row r="3" spans="1:8" ht="9" customHeight="1" thickTop="1" thickBot="1">
      <c r="C3" s="53"/>
      <c r="D3" s="53"/>
      <c r="E3" s="52"/>
      <c r="F3" s="53"/>
      <c r="G3" s="53"/>
    </row>
    <row r="4" spans="1:8" ht="17.25" customHeight="1" thickTop="1">
      <c r="C4" s="43" t="s">
        <v>61</v>
      </c>
      <c r="D4" s="51">
        <f ca="1">COUNTIFS(tblVentes[Date],"&gt;="&amp;TODAY(),tblVentes[Date],"&lt;"&amp;TODAY()+1)</f>
        <v>0</v>
      </c>
      <c r="E4" s="57"/>
      <c r="F4" s="46" t="s">
        <v>67</v>
      </c>
      <c r="G4" s="64">
        <f ca="1">SUMIFS(tblStockAdmin[Bénéfice],tblStockAdmin[Date_Vente],"&gt;="&amp;TODAY(),tblStockAdmin[Date_Vente],"&lt;"&amp;TODAY()+1)</f>
        <v>0</v>
      </c>
    </row>
    <row r="5" spans="1:8" ht="17.25" customHeight="1">
      <c r="C5" s="44" t="s">
        <v>62</v>
      </c>
      <c r="D5" s="65">
        <f ca="1">COUNTIFS(tblVentes[Date],"&gt;="&amp;TODAY()-WEEKDAY(TODAY(),2)+1)</f>
        <v>0</v>
      </c>
      <c r="E5" s="57"/>
      <c r="F5" s="47" t="s">
        <v>68</v>
      </c>
      <c r="G5" s="66">
        <f ca="1">SUMIFS(tblStockAdmin[Bénéfice],tblStockAdmin[Date_Vente],"&gt;="&amp;TODAY()-WEEKDAY(TODAY(),2)+1)</f>
        <v>0</v>
      </c>
    </row>
    <row r="6" spans="1:8" ht="17.25" customHeight="1">
      <c r="C6" s="44" t="s">
        <v>63</v>
      </c>
      <c r="D6" s="65">
        <f ca="1">COUNTIFS(tblVentes[Date],"&gt;="&amp;DATE(YEAR(TODAY()),MONTH(TODAY()),1))</f>
        <v>0</v>
      </c>
      <c r="E6" s="57"/>
      <c r="F6" s="47" t="s">
        <v>69</v>
      </c>
      <c r="G6" s="66">
        <f ca="1">SUMIFS(tblStockAdmin[Bénéfice],tblStockAdmin[Date_Vente],"&gt;="&amp;DATE(YEAR(TODAY()),MONTH(TODAY()),1))</f>
        <v>0</v>
      </c>
    </row>
    <row r="7" spans="1:8" ht="17.25" customHeight="1">
      <c r="C7" s="44" t="s">
        <v>64</v>
      </c>
      <c r="D7" s="65">
        <f ca="1">SUMIFS(tblVentes[Montant],tblVentes[Date],"&gt;="&amp;TODAY(),tblVentes[Date],"&lt;"&amp;TODAY()+1)</f>
        <v>0</v>
      </c>
      <c r="E7" s="57"/>
      <c r="F7" s="48" t="s">
        <v>60</v>
      </c>
      <c r="G7" s="66">
        <f>SUM(tblStockAdmin[Bénéfice])</f>
        <v>0</v>
      </c>
    </row>
    <row r="8" spans="1:8" ht="15.75">
      <c r="C8" s="44" t="s">
        <v>65</v>
      </c>
      <c r="D8" s="65">
        <f ca="1">SUMIFS(tblVentes[Montant],tblVentes[Date],"&gt;="&amp;TODAY()-WEEKDAY(TODAY(),2)+1)</f>
        <v>0</v>
      </c>
      <c r="E8" s="57"/>
      <c r="F8" s="49"/>
      <c r="G8" s="67"/>
      <c r="H8" s="1"/>
    </row>
    <row r="9" spans="1:8" ht="16.5" thickBot="1">
      <c r="C9" s="45" t="s">
        <v>66</v>
      </c>
      <c r="D9" s="68">
        <f ca="1">SUMIFS(tblVentes[Montant],tblVentes[Date],"&gt;="&amp;DATE(YEAR(TODAY()),MONTH(TODAY()),1))</f>
        <v>0</v>
      </c>
      <c r="E9" s="57"/>
      <c r="F9" s="50"/>
      <c r="G9" s="69"/>
    </row>
    <row r="10" spans="1:8" ht="16.5" thickTop="1" thickBot="1"/>
    <row r="11" spans="1:8" ht="27.75" customHeight="1" thickTop="1" thickBot="1">
      <c r="C11" s="70" t="s">
        <v>71</v>
      </c>
      <c r="D11" s="70"/>
      <c r="E11" s="55"/>
    </row>
    <row r="12" spans="1:8" ht="8.25" customHeight="1" thickTop="1" thickBot="1">
      <c r="C12" s="54"/>
      <c r="D12" s="54"/>
      <c r="E12" s="55"/>
    </row>
    <row r="13" spans="1:8" ht="19.5" thickTop="1">
      <c r="C13" s="58" t="s">
        <v>56</v>
      </c>
      <c r="D13" s="59">
        <f>COUNTIF(tblStockAdmin[Statut],"Disponible")</f>
        <v>0</v>
      </c>
      <c r="E13" s="56"/>
    </row>
    <row r="14" spans="1:8" ht="18.75">
      <c r="C14" s="60" t="s">
        <v>57</v>
      </c>
      <c r="D14" s="61">
        <f>COUNTIF(tblStockAdmin[Statut],"Vendu")</f>
        <v>0</v>
      </c>
      <c r="E14" s="56"/>
    </row>
    <row r="15" spans="1:8" ht="18.75">
      <c r="C15" s="60" t="s">
        <v>58</v>
      </c>
      <c r="D15" s="61">
        <f>COUNTIF(Stock_Telephones!G:G,"Sortie partenaire")</f>
        <v>0</v>
      </c>
      <c r="E15" s="56"/>
    </row>
    <row r="16" spans="1:8" ht="19.5" thickBot="1">
      <c r="C16" s="62" t="s">
        <v>59</v>
      </c>
      <c r="D16" s="63">
        <f>COUNTIF(tblStockAdmin[Mode_Entrée],"Troc")</f>
        <v>0</v>
      </c>
      <c r="E16" s="56"/>
    </row>
    <row r="17" ht="15.75" thickTop="1"/>
  </sheetData>
  <mergeCells count="2">
    <mergeCell ref="C11:D11"/>
    <mergeCell ref="C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2:H4"/>
  <sheetViews>
    <sheetView showGridLines="0" workbookViewId="0">
      <selection activeCell="G15" sqref="G15"/>
    </sheetView>
  </sheetViews>
  <sheetFormatPr baseColWidth="10" defaultColWidth="13.7109375" defaultRowHeight="21.95" customHeight="1"/>
  <cols>
    <col min="1" max="1" width="29" style="9" customWidth="1"/>
    <col min="2" max="2" width="33.42578125" style="9" customWidth="1"/>
    <col min="3" max="3" width="27" style="9" customWidth="1"/>
    <col min="4" max="4" width="19.140625" style="9" customWidth="1"/>
    <col min="5" max="5" width="15.85546875" style="9" customWidth="1"/>
    <col min="6" max="6" width="17.7109375" style="9" customWidth="1"/>
    <col min="7" max="8" width="21.7109375" style="9" customWidth="1"/>
    <col min="9" max="16384" width="13.7109375" style="9"/>
  </cols>
  <sheetData>
    <row r="2" spans="1:8" ht="50.25" customHeight="1"/>
    <row r="3" spans="1:8" ht="30" customHeight="1">
      <c r="A3" s="10" t="s">
        <v>22</v>
      </c>
      <c r="B3" s="11" t="s">
        <v>8</v>
      </c>
      <c r="C3" s="11" t="s">
        <v>9</v>
      </c>
      <c r="D3" s="11" t="s">
        <v>10</v>
      </c>
      <c r="E3" s="11" t="s">
        <v>20</v>
      </c>
      <c r="F3" s="11" t="s">
        <v>21</v>
      </c>
      <c r="G3" s="11" t="s">
        <v>11</v>
      </c>
      <c r="H3" s="12" t="s">
        <v>27</v>
      </c>
    </row>
    <row r="4" spans="1:8" ht="21.95" customHeight="1">
      <c r="A4" s="13"/>
      <c r="B4" s="14"/>
      <c r="C4" s="14"/>
      <c r="D4" s="14"/>
      <c r="E4" s="14"/>
      <c r="F4" s="14"/>
      <c r="G4" s="14"/>
      <c r="H4" s="15"/>
    </row>
  </sheetData>
  <sheetProtection algorithmName="SHA-512" hashValue="r7mmOeB1Frr6XTHntDWXFrNbP3lv3FhuQasfCVWbwgy/JE3YslNai/Hg8GKtPmlIAd72d0Y4pgdREk14R/gIfQ==" saltValue="Blh+JJj+r+ZtV8Vep1dpc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RetourAcc">
                <anchor moveWithCells="1" sizeWithCells="1">
                  <from>
                    <xdr:col>0</xdr:col>
                    <xdr:colOff>85725</xdr:colOff>
                    <xdr:row>1</xdr:row>
                    <xdr:rowOff>123825</xdr:rowOff>
                  </from>
                  <to>
                    <xdr:col>1</xdr:col>
                    <xdr:colOff>190500</xdr:colOff>
                    <xdr:row>1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2:L462"/>
  <sheetViews>
    <sheetView showGridLines="0" workbookViewId="0">
      <selection activeCell="J20" sqref="J20"/>
    </sheetView>
  </sheetViews>
  <sheetFormatPr baseColWidth="10" defaultColWidth="11.42578125" defaultRowHeight="20.100000000000001" customHeight="1"/>
  <cols>
    <col min="1" max="1" width="29.7109375" style="9" customWidth="1"/>
    <col min="2" max="2" width="16.28515625" style="9" customWidth="1"/>
    <col min="3" max="3" width="35.5703125" style="9" customWidth="1"/>
    <col min="4" max="4" width="21" style="9" customWidth="1"/>
    <col min="5" max="5" width="13.28515625" style="9" customWidth="1"/>
    <col min="6" max="6" width="16.5703125" style="9" customWidth="1"/>
    <col min="7" max="7" width="20.7109375" style="9" customWidth="1"/>
    <col min="8" max="8" width="17.85546875" style="9" customWidth="1"/>
    <col min="9" max="9" width="17.140625" style="9" customWidth="1"/>
    <col min="10" max="10" width="18.140625" style="9" customWidth="1"/>
    <col min="11" max="11" width="17.42578125" style="9" customWidth="1"/>
    <col min="12" max="12" width="22.85546875" style="38" customWidth="1"/>
    <col min="13" max="16384" width="11.42578125" style="9"/>
  </cols>
  <sheetData>
    <row r="2" spans="1:12" ht="50.1" customHeight="1"/>
    <row r="3" spans="1:12" s="18" customFormat="1" ht="30" customHeight="1">
      <c r="A3" s="19" t="s">
        <v>13</v>
      </c>
      <c r="B3" s="19" t="s">
        <v>22</v>
      </c>
      <c r="C3" s="19" t="s">
        <v>8</v>
      </c>
      <c r="D3" s="19" t="s">
        <v>9</v>
      </c>
      <c r="E3" s="19" t="s">
        <v>20</v>
      </c>
      <c r="F3" s="20" t="s">
        <v>21</v>
      </c>
      <c r="G3" s="19" t="s">
        <v>14</v>
      </c>
      <c r="H3" s="19" t="s">
        <v>15</v>
      </c>
      <c r="I3" s="19" t="s">
        <v>16</v>
      </c>
      <c r="J3" s="19" t="s">
        <v>38</v>
      </c>
      <c r="K3" s="19" t="s">
        <v>17</v>
      </c>
      <c r="L3" s="39" t="s">
        <v>18</v>
      </c>
    </row>
    <row r="4" spans="1:12" ht="20.100000000000001" customHeight="1">
      <c r="A4" s="21"/>
      <c r="B4" s="21"/>
      <c r="C4" s="14"/>
      <c r="D4" s="14"/>
      <c r="E4" s="14"/>
      <c r="F4" s="14"/>
      <c r="G4" s="14"/>
      <c r="H4" s="14"/>
      <c r="I4" s="14"/>
      <c r="J4" s="14"/>
      <c r="K4" s="14"/>
      <c r="L4" s="39"/>
    </row>
    <row r="5" spans="1:12" ht="20.100000000000001" customHeight="1">
      <c r="A5" s="23" t="s">
        <v>19</v>
      </c>
      <c r="B5" s="23"/>
      <c r="C5" s="22"/>
      <c r="D5" s="22"/>
      <c r="E5" s="22"/>
      <c r="F5" s="22"/>
      <c r="G5" s="22"/>
      <c r="H5" s="22"/>
      <c r="I5" s="22"/>
      <c r="J5" s="22"/>
      <c r="K5" s="22"/>
      <c r="L5" s="42">
        <f>SUBTOTAL(109,tblVentes[Montant])</f>
        <v>0</v>
      </c>
    </row>
    <row r="6" spans="1:12" ht="20.100000000000001" customHeight="1">
      <c r="A6" s="23"/>
      <c r="B6" s="23"/>
      <c r="C6" s="22"/>
      <c r="D6" s="22"/>
      <c r="E6" s="22"/>
      <c r="F6" s="22"/>
      <c r="G6" s="22"/>
      <c r="H6" s="22"/>
      <c r="I6" s="22"/>
      <c r="J6" s="22"/>
      <c r="K6" s="22"/>
      <c r="L6" s="42"/>
    </row>
    <row r="7" spans="1:12" ht="20.100000000000001" customHeight="1">
      <c r="A7" s="23"/>
      <c r="B7" s="23"/>
      <c r="C7" s="22"/>
      <c r="D7" s="22"/>
      <c r="E7" s="22"/>
      <c r="F7" s="22"/>
      <c r="G7" s="22"/>
      <c r="H7" s="22"/>
      <c r="I7" s="22"/>
      <c r="J7" s="22"/>
      <c r="K7" s="22"/>
      <c r="L7" s="42"/>
    </row>
    <row r="8" spans="1:12" ht="20.100000000000001" customHeight="1">
      <c r="A8" s="23"/>
      <c r="B8" s="23"/>
      <c r="C8" s="22"/>
      <c r="D8" s="22"/>
      <c r="E8" s="22"/>
      <c r="F8" s="22"/>
      <c r="G8" s="22"/>
      <c r="H8" s="22"/>
      <c r="I8" s="22"/>
      <c r="J8" s="22"/>
      <c r="K8" s="22"/>
      <c r="L8" s="42"/>
    </row>
    <row r="9" spans="1:12" ht="20.100000000000001" customHeight="1">
      <c r="A9" s="23"/>
      <c r="B9" s="23"/>
      <c r="C9" s="22"/>
      <c r="D9" s="22"/>
      <c r="E9" s="22"/>
      <c r="F9" s="22"/>
      <c r="G9" s="22"/>
      <c r="H9" s="22"/>
      <c r="I9" s="22"/>
      <c r="J9" s="22"/>
      <c r="K9" s="22"/>
      <c r="L9" s="42"/>
    </row>
    <row r="10" spans="1:12" ht="20.100000000000001" customHeight="1">
      <c r="A10" s="23"/>
      <c r="B10" s="23"/>
      <c r="C10" s="22"/>
      <c r="D10" s="22"/>
      <c r="E10" s="22"/>
      <c r="F10" s="22"/>
      <c r="G10" s="22"/>
      <c r="H10" s="22"/>
      <c r="I10" s="22"/>
      <c r="J10" s="22"/>
      <c r="K10" s="22"/>
      <c r="L10" s="42"/>
    </row>
    <row r="11" spans="1:12" ht="20.100000000000001" customHeight="1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42"/>
    </row>
    <row r="12" spans="1:12" ht="20.100000000000001" customHeight="1">
      <c r="A12" s="22"/>
      <c r="B12" s="22"/>
      <c r="C12" s="24"/>
      <c r="D12" s="22"/>
      <c r="E12" s="22"/>
      <c r="F12" s="22"/>
      <c r="G12" s="22"/>
      <c r="H12" s="22"/>
      <c r="I12" s="22"/>
      <c r="J12" s="22"/>
      <c r="K12" s="22"/>
      <c r="L12" s="42"/>
    </row>
    <row r="13" spans="1:12" ht="20.100000000000001" customHeight="1">
      <c r="A13" s="23"/>
      <c r="B13" s="23"/>
      <c r="C13" s="24"/>
      <c r="D13" s="22"/>
      <c r="E13" s="22"/>
      <c r="F13" s="22"/>
      <c r="G13" s="22"/>
      <c r="H13" s="22"/>
      <c r="I13" s="22"/>
      <c r="J13" s="22"/>
      <c r="K13" s="22"/>
      <c r="L13" s="42"/>
    </row>
    <row r="14" spans="1:12" ht="20.100000000000001" customHeight="1">
      <c r="A14" s="23"/>
      <c r="B14" s="23"/>
      <c r="C14" s="24"/>
      <c r="D14" s="22"/>
      <c r="E14" s="22"/>
      <c r="F14" s="22"/>
      <c r="G14" s="22"/>
      <c r="H14" s="22"/>
      <c r="I14" s="22"/>
      <c r="J14" s="22"/>
      <c r="K14" s="22"/>
      <c r="L14" s="42"/>
    </row>
    <row r="15" spans="1:12" ht="20.100000000000001" customHeight="1">
      <c r="A15" s="23"/>
      <c r="B15" s="23"/>
      <c r="C15" s="24"/>
      <c r="D15" s="22"/>
      <c r="E15" s="22"/>
      <c r="F15" s="22"/>
      <c r="G15" s="22"/>
      <c r="H15" s="22"/>
      <c r="I15" s="22"/>
      <c r="J15" s="22"/>
      <c r="K15" s="22"/>
      <c r="L15" s="42"/>
    </row>
    <row r="16" spans="1:12" ht="20.100000000000001" customHeight="1">
      <c r="C16" s="24"/>
    </row>
    <row r="17" spans="3:3" ht="20.100000000000001" customHeight="1">
      <c r="C17" s="24"/>
    </row>
    <row r="18" spans="3:3" ht="20.100000000000001" customHeight="1">
      <c r="C18" s="24"/>
    </row>
    <row r="19" spans="3:3" ht="20.100000000000001" customHeight="1">
      <c r="C19" s="24"/>
    </row>
    <row r="20" spans="3:3" ht="20.100000000000001" customHeight="1">
      <c r="C20" s="24"/>
    </row>
    <row r="21" spans="3:3" ht="20.100000000000001" customHeight="1">
      <c r="C21" s="24"/>
    </row>
    <row r="22" spans="3:3" ht="20.100000000000001" customHeight="1">
      <c r="C22" s="24"/>
    </row>
    <row r="23" spans="3:3" ht="20.100000000000001" customHeight="1">
      <c r="C23" s="24"/>
    </row>
    <row r="461" spans="1:2" ht="20.100000000000001" customHeight="1">
      <c r="A461" s="25"/>
      <c r="B461" s="25"/>
    </row>
    <row r="462" spans="1:2" ht="20.100000000000001" customHeight="1">
      <c r="A462" s="25"/>
      <c r="B462" s="25"/>
    </row>
  </sheetData>
  <sheetProtection algorithmName="SHA-512" hashValue="dkPY7ltd/bY95LCWpDgutoL2Sz7ZtAitENq7hakQdcc1ysDQddyABQL2ncC4h4Wvyrbs5NT56oKknsDKxG+6qw==" saltValue="/5EJgUlxnq9D7bd/U5CVcA==" spinCount="100000" sheet="1" objects="1" scenarios="1"/>
  <dataConsolidate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etourAcc">
                <anchor moveWithCells="1" sizeWithCells="1">
                  <from>
                    <xdr:col>0</xdr:col>
                    <xdr:colOff>66675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88F26-71E0-405B-B8D8-102C0B2307FD}">
  <sheetPr codeName="Hoja1"/>
  <dimension ref="A2:H12"/>
  <sheetViews>
    <sheetView showGridLines="0" workbookViewId="0">
      <selection activeCell="D16" sqref="D16"/>
    </sheetView>
  </sheetViews>
  <sheetFormatPr baseColWidth="10" defaultRowHeight="20.100000000000001" customHeight="1"/>
  <cols>
    <col min="1" max="1" width="18.7109375" style="26" customWidth="1"/>
    <col min="2" max="2" width="25" style="26" customWidth="1"/>
    <col min="3" max="3" width="19.7109375" style="26" customWidth="1"/>
    <col min="4" max="4" width="15.7109375" style="26" customWidth="1"/>
    <col min="5" max="5" width="25.42578125" style="26" customWidth="1"/>
    <col min="6" max="6" width="19.7109375" style="26" customWidth="1"/>
    <col min="7" max="7" width="15.28515625" style="26" customWidth="1"/>
    <col min="8" max="8" width="15.7109375" style="26" customWidth="1"/>
    <col min="9" max="16384" width="11.42578125" style="26"/>
  </cols>
  <sheetData>
    <row r="2" spans="1:8" ht="50.1" customHeight="1"/>
    <row r="3" spans="1:8" s="30" customFormat="1" ht="30" customHeight="1">
      <c r="A3" s="27" t="s">
        <v>13</v>
      </c>
      <c r="B3" s="28" t="s">
        <v>26</v>
      </c>
      <c r="C3" s="28" t="s">
        <v>27</v>
      </c>
      <c r="D3" s="28" t="s">
        <v>28</v>
      </c>
      <c r="E3" s="28" t="s">
        <v>8</v>
      </c>
      <c r="F3" s="28" t="s">
        <v>9</v>
      </c>
      <c r="G3" s="28" t="s">
        <v>20</v>
      </c>
      <c r="H3" s="29" t="s">
        <v>21</v>
      </c>
    </row>
    <row r="4" spans="1:8" ht="20.100000000000001" customHeight="1">
      <c r="A4" s="31">
        <v>46192.079953703702</v>
      </c>
      <c r="B4" s="14" t="s">
        <v>30</v>
      </c>
      <c r="C4" s="14" t="s">
        <v>36</v>
      </c>
      <c r="D4" s="14" t="s">
        <v>33</v>
      </c>
      <c r="E4" s="14">
        <v>544565456</v>
      </c>
      <c r="F4" s="14" t="s">
        <v>34</v>
      </c>
      <c r="G4" s="14" t="s">
        <v>23</v>
      </c>
      <c r="H4" s="15" t="s">
        <v>35</v>
      </c>
    </row>
    <row r="5" spans="1:8" ht="20.100000000000001" customHeight="1">
      <c r="A5" s="31">
        <v>46192.080787037034</v>
      </c>
      <c r="B5" s="14" t="s">
        <v>37</v>
      </c>
      <c r="C5" s="14" t="s">
        <v>31</v>
      </c>
      <c r="D5" s="14" t="s">
        <v>29</v>
      </c>
      <c r="E5" s="14">
        <v>357852</v>
      </c>
      <c r="F5" s="14" t="s">
        <v>12</v>
      </c>
      <c r="G5" s="14" t="s">
        <v>24</v>
      </c>
      <c r="H5" s="15" t="s">
        <v>25</v>
      </c>
    </row>
    <row r="6" spans="1:8" s="32" customFormat="1" ht="20.100000000000001" customHeight="1">
      <c r="A6" s="31">
        <v>46192.081631944442</v>
      </c>
      <c r="B6" s="14" t="s">
        <v>32</v>
      </c>
      <c r="C6" s="14" t="s">
        <v>31</v>
      </c>
      <c r="D6" s="14" t="s">
        <v>29</v>
      </c>
      <c r="E6" s="14">
        <v>357852</v>
      </c>
      <c r="F6" s="14" t="s">
        <v>12</v>
      </c>
      <c r="G6" s="14" t="s">
        <v>24</v>
      </c>
      <c r="H6" s="15" t="s">
        <v>25</v>
      </c>
    </row>
    <row r="7" spans="1:8" s="32" customFormat="1" ht="20.100000000000001" customHeight="1">
      <c r="A7" s="31">
        <v>46192.845196759263</v>
      </c>
      <c r="B7" s="14" t="s">
        <v>50</v>
      </c>
      <c r="C7" s="14"/>
      <c r="D7" s="14" t="s">
        <v>46</v>
      </c>
      <c r="E7" s="14">
        <v>5785768</v>
      </c>
      <c r="F7" s="14" t="s">
        <v>47</v>
      </c>
      <c r="G7" s="14" t="s">
        <v>48</v>
      </c>
      <c r="H7" s="15" t="s">
        <v>49</v>
      </c>
    </row>
    <row r="8" spans="1:8" ht="20.100000000000001" customHeight="1">
      <c r="A8" s="31">
        <v>46192.85728009259</v>
      </c>
      <c r="B8" s="14" t="s">
        <v>50</v>
      </c>
      <c r="C8" s="14"/>
      <c r="D8" s="14" t="s">
        <v>51</v>
      </c>
      <c r="E8" s="14">
        <v>4563456</v>
      </c>
      <c r="F8" s="14" t="s">
        <v>52</v>
      </c>
      <c r="G8" s="14" t="s">
        <v>24</v>
      </c>
      <c r="H8" s="15" t="s">
        <v>45</v>
      </c>
    </row>
    <row r="9" spans="1:8" ht="20.100000000000001" customHeight="1">
      <c r="A9" s="33">
        <v>46192.860509259262</v>
      </c>
      <c r="B9" s="16" t="s">
        <v>50</v>
      </c>
      <c r="C9" s="16"/>
      <c r="D9" s="16" t="s">
        <v>51</v>
      </c>
      <c r="E9" s="16">
        <v>111111111</v>
      </c>
      <c r="F9" s="16" t="s">
        <v>53</v>
      </c>
      <c r="G9" s="16" t="s">
        <v>24</v>
      </c>
      <c r="H9" s="17" t="s">
        <v>54</v>
      </c>
    </row>
    <row r="10" spans="1:8" ht="20.100000000000001" customHeight="1">
      <c r="A10" s="34"/>
    </row>
    <row r="11" spans="1:8" ht="20.100000000000001" customHeight="1">
      <c r="A11" s="35"/>
      <c r="B11" s="32"/>
      <c r="C11" s="32"/>
      <c r="D11" s="32"/>
      <c r="E11" s="32"/>
      <c r="F11" s="32"/>
      <c r="G11" s="32"/>
      <c r="H11" s="32"/>
    </row>
    <row r="12" spans="1:8" ht="20.100000000000001" customHeight="1">
      <c r="A12" s="35"/>
      <c r="B12" s="32"/>
      <c r="C12" s="32"/>
      <c r="D12" s="32"/>
      <c r="E12" s="32"/>
      <c r="F12" s="32"/>
      <c r="G12" s="32"/>
      <c r="H12" s="32"/>
    </row>
  </sheetData>
  <sheetProtection algorithmName="SHA-512" hashValue="8zVsF8sHjBkfJsUg184sem4ZAUvXah7RemBMew3NnAnDl0lCz9S/7MuOSG8Lw/NVUy/lPZpYZ7mXxZYU0n3oNg==" saltValue="dbjm0Hvv3E5/PubR9VqlIg==" spinCount="100000" sheet="1" objects="1" scenarios="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etourAcc">
                <anchor moveWithCells="1" sizeWithCells="1">
                  <from>
                    <xdr:col>0</xdr:col>
                    <xdr:colOff>95250</xdr:colOff>
                    <xdr:row>1</xdr:row>
                    <xdr:rowOff>142875</xdr:rowOff>
                  </from>
                  <to>
                    <xdr:col>1</xdr:col>
                    <xdr:colOff>933450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8"/>
  <sheetViews>
    <sheetView workbookViewId="0">
      <selection activeCell="A8" sqref="A8"/>
    </sheetView>
  </sheetViews>
  <sheetFormatPr baseColWidth="10" defaultColWidth="11.42578125" defaultRowHeight="15"/>
  <cols>
    <col min="1" max="1" width="18.2851562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61C62-5BCB-43B8-BA76-24DD2DD7A918}">
  <sheetPr codeName="Hoja2"/>
  <dimension ref="A2:N39"/>
  <sheetViews>
    <sheetView tabSelected="1" workbookViewId="0">
      <selection activeCell="G4" sqref="G4"/>
    </sheetView>
  </sheetViews>
  <sheetFormatPr baseColWidth="10" defaultRowHeight="20.100000000000001" customHeight="1"/>
  <cols>
    <col min="1" max="1" width="14.85546875" customWidth="1"/>
    <col min="2" max="2" width="34" customWidth="1"/>
    <col min="3" max="3" width="16.28515625" customWidth="1"/>
    <col min="4" max="4" width="13" customWidth="1"/>
    <col min="5" max="5" width="14" customWidth="1"/>
    <col min="6" max="6" width="12.7109375" customWidth="1"/>
    <col min="7" max="7" width="18.85546875" customWidth="1"/>
    <col min="8" max="8" width="17.140625" style="36" customWidth="1"/>
    <col min="9" max="9" width="19.85546875" style="36" customWidth="1"/>
    <col min="10" max="10" width="16.7109375" style="36" customWidth="1"/>
    <col min="11" max="11" width="13.28515625" customWidth="1"/>
    <col min="12" max="12" width="22.85546875" customWidth="1"/>
    <col min="13" max="13" width="22.42578125" customWidth="1"/>
    <col min="14" max="14" width="24" customWidth="1"/>
  </cols>
  <sheetData>
    <row r="2" spans="1:14" ht="50.1" customHeight="1"/>
    <row r="3" spans="1:14" s="3" customFormat="1" ht="30" customHeight="1">
      <c r="A3" s="3" t="s">
        <v>22</v>
      </c>
      <c r="B3" s="3" t="s">
        <v>8</v>
      </c>
      <c r="C3" s="3" t="s">
        <v>9</v>
      </c>
      <c r="D3" s="3" t="s">
        <v>10</v>
      </c>
      <c r="E3" s="3" t="s">
        <v>20</v>
      </c>
      <c r="F3" s="3" t="s">
        <v>21</v>
      </c>
      <c r="G3" s="3" t="s">
        <v>39</v>
      </c>
      <c r="H3" s="37" t="s">
        <v>40</v>
      </c>
      <c r="I3" s="37" t="s">
        <v>41</v>
      </c>
      <c r="J3" s="37" t="s">
        <v>42</v>
      </c>
      <c r="K3" s="3" t="s">
        <v>11</v>
      </c>
      <c r="L3" s="3" t="s">
        <v>43</v>
      </c>
      <c r="M3" s="3" t="s">
        <v>44</v>
      </c>
      <c r="N3" s="3" t="s">
        <v>55</v>
      </c>
    </row>
    <row r="4" spans="1:14" ht="20.100000000000001" customHeight="1">
      <c r="A4" s="3"/>
      <c r="B4" s="3"/>
      <c r="C4" s="3"/>
      <c r="D4" s="3"/>
      <c r="E4" s="3"/>
      <c r="F4" s="3"/>
      <c r="G4" s="3"/>
      <c r="H4" s="37"/>
      <c r="I4" s="37"/>
      <c r="J4" s="37"/>
      <c r="K4" s="3"/>
      <c r="L4" s="2"/>
      <c r="M4" s="2"/>
    </row>
    <row r="15" spans="1:14" ht="20.100000000000001" customHeight="1">
      <c r="D15" s="5"/>
    </row>
    <row r="39" spans="3:3" ht="20.100000000000001" customHeight="1">
      <c r="C39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RetourAccueil">
                <anchor moveWithCells="1" sizeWithCells="1">
                  <from>
                    <xdr:col>0</xdr:col>
                    <xdr:colOff>133350</xdr:colOff>
                    <xdr:row>1</xdr:row>
                    <xdr:rowOff>57150</xdr:rowOff>
                  </from>
                  <to>
                    <xdr:col>1</xdr:col>
                    <xdr:colOff>1352550</xdr:colOff>
                    <xdr:row>1</xdr:row>
                    <xdr:rowOff>542925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Dashboard</vt:lpstr>
      <vt:lpstr>Vendeurs</vt:lpstr>
      <vt:lpstr>Stock_Administration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SUPRA STORES</dc:creator>
  <cp:lastModifiedBy>SUPRA STORES</cp:lastModifiedBy>
  <dcterms:created xsi:type="dcterms:W3CDTF">2026-06-17T20:24:10Z</dcterms:created>
  <dcterms:modified xsi:type="dcterms:W3CDTF">2026-06-21T17:10:51Z</dcterms:modified>
</cp:coreProperties>
</file>